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Unidades compartidas\03 - ADMINISTRACIÓN\2025 - 2026\PROGRAMA CONTABILIDAD\"/>
    </mc:Choice>
  </mc:AlternateContent>
  <xr:revisionPtr revIDLastSave="0" documentId="13_ncr:1_{AE28A932-1BE4-4ABA-8EDC-A777D8447F4F}" xr6:coauthVersionLast="47" xr6:coauthVersionMax="47" xr10:uidLastSave="{00000000-0000-0000-0000-000000000000}"/>
  <bookViews>
    <workbookView xWindow="-19320" yWindow="-120" windowWidth="19440" windowHeight="14880" activeTab="2" xr2:uid="{00000000-000D-0000-FFFF-FFFF00000000}"/>
  </bookViews>
  <sheets>
    <sheet name="EJEMPLO IMPORTAR A SAGE" sheetId="1" r:id="rId1"/>
    <sheet name="LIBRO CAJA" sheetId="2" r:id="rId2"/>
    <sheet name="EJEMPLO MOVIMIENTOS DEL BANCO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2" l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</calcChain>
</file>

<file path=xl/sharedStrings.xml><?xml version="1.0" encoding="utf-8"?>
<sst xmlns="http://schemas.openxmlformats.org/spreadsheetml/2006/main" count="142" uniqueCount="70">
  <si>
    <t>Asiento</t>
  </si>
  <si>
    <t>Numerodeperiodo</t>
  </si>
  <si>
    <t>OrdenMovimiento</t>
  </si>
  <si>
    <t>CargoAbono</t>
  </si>
  <si>
    <t>CodigoCuenta</t>
  </si>
  <si>
    <t>FechaAsiento</t>
  </si>
  <si>
    <t>ImporteAsiento</t>
  </si>
  <si>
    <t>Comentario</t>
  </si>
  <si>
    <t>H</t>
  </si>
  <si>
    <t>Compra lapiceros</t>
  </si>
  <si>
    <t>D</t>
  </si>
  <si>
    <t>SALDO INICIAL</t>
  </si>
  <si>
    <t>SERV. COMPLE 2º CICLO</t>
  </si>
  <si>
    <t>MARIANA BARRERA</t>
  </si>
  <si>
    <t>SERV. COMPLE 1º CICLO</t>
  </si>
  <si>
    <t>HNOS. TORRES</t>
  </si>
  <si>
    <t>SERV. COMPLE 3º CICLO</t>
  </si>
  <si>
    <t>SERV. COMPLE ESO</t>
  </si>
  <si>
    <t>VADYM SEMENIUK</t>
  </si>
  <si>
    <t>HNAS CASTRO</t>
  </si>
  <si>
    <t>COMEDOR</t>
  </si>
  <si>
    <t>EMILY TOLOSA</t>
  </si>
  <si>
    <t>GASOLINA + GARRAFA</t>
  </si>
  <si>
    <t>HNOS. ACOSTA</t>
  </si>
  <si>
    <t>SIFON LAVABO</t>
  </si>
  <si>
    <t>DEL MES ANTERIOR</t>
  </si>
  <si>
    <t>Fecha del asiento</t>
  </si>
  <si>
    <t>comentario</t>
  </si>
  <si>
    <t>SALDO NO SE PASA A SAGE PERO SE QUEDA EN EL PROGRAMA PARA VERIFICAR CON EL IMPORTE DE CAJA</t>
  </si>
  <si>
    <t>IMPORTE ASIENTO</t>
  </si>
  <si>
    <t>ALQUILER FURGONETA</t>
  </si>
  <si>
    <t>SI EL IMPORTE DEL ASIENTO ES POSITIVO ENTONCES:</t>
  </si>
  <si>
    <t>PONERLA MANUALMENTE PORQUE DEPENDE DEL GASTO</t>
  </si>
  <si>
    <t>SI EL IMPORTE DEL ASIENTO ES NEGATIVO ENTONCES:</t>
  </si>
  <si>
    <t>PONERLA MANUALMENTE PORQUE DEPENDE DEL INGRESO</t>
  </si>
  <si>
    <t>LIBRO DE CAJA</t>
  </si>
  <si>
    <t>OBSERVACIONES no se pasan al SAGE, SOLO SE QUEDA REGISTRADO EN EL PROGRAMA</t>
  </si>
  <si>
    <t>Movimiento</t>
  </si>
  <si>
    <t>Más datos</t>
  </si>
  <si>
    <t>TRANSFER INMEDIATA</t>
  </si>
  <si>
    <t>LAURA GARCIA BENEDITO</t>
  </si>
  <si>
    <t>SCF-TRASPASO FONDOS</t>
  </si>
  <si>
    <t>DC: 3031.2200545813</t>
  </si>
  <si>
    <t>ON 346934177 1805</t>
  </si>
  <si>
    <t/>
  </si>
  <si>
    <t>C. 346934177 1805</t>
  </si>
  <si>
    <t>FATIR187734594</t>
  </si>
  <si>
    <t>R4600506B000</t>
  </si>
  <si>
    <t>FATIR187734595</t>
  </si>
  <si>
    <t>FATIR187734597</t>
  </si>
  <si>
    <t>PR.FA187734594</t>
  </si>
  <si>
    <t>PR.FA187734595</t>
  </si>
  <si>
    <t>PR.FA187734597</t>
  </si>
  <si>
    <t>MAQUINAS Y EQUIP.</t>
  </si>
  <si>
    <t>B96713490000</t>
  </si>
  <si>
    <t>IONOS CLOUD S.L.U</t>
  </si>
  <si>
    <t>Recibos varios</t>
  </si>
  <si>
    <t>PRECIO ED. EXTRACTO</t>
  </si>
  <si>
    <t>TRASPASO</t>
  </si>
  <si>
    <t>Saldo NO SE PASA A SAGE</t>
  </si>
  <si>
    <t>Fecha valor SE ELIMINA DEL EXCEL DEL BANCO, NO SE NECESITA PARA SAGE</t>
  </si>
  <si>
    <t>ESTOS MOVIMIENTOS SN DOMICILIACIONES</t>
  </si>
  <si>
    <t>SI EL IMPORTE DEL ASIENTO ES POSITIVO:</t>
  </si>
  <si>
    <t>SI EL IMPORTE DEL ASIENTO ES NEGATIVO:</t>
  </si>
  <si>
    <t>CUENTA DE PROVEEDOR O GASTO</t>
  </si>
  <si>
    <t>Si movimiento=SCF-TRASPASO FONDOS e importe de asiento positivo</t>
  </si>
  <si>
    <t>BARIDO DE CUENTA Y FECHA DEL ASIENTO</t>
  </si>
  <si>
    <t>Si movimiento=SCF-TRASPASO FONDOS e importe de asiento NEGATIVO</t>
  </si>
  <si>
    <t>SE PODRIA PONER MANUAL</t>
  </si>
  <si>
    <t>los comentarios se añadirian manualmente en el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</si>
</sst>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€]#,##0.00"/>
    <numFmt numFmtId="166" formatCode="[$-C0A]#,##0.00\ _€;[Red]\-#,##0.00\ _€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b/>
      <sz val="14"/>
      <color rgb="FF000000"/>
      <name val="Calibri"/>
      <family val="2"/>
    </font>
    <font>
      <sz val="11"/>
      <color theme="1"/>
      <name val="Aptos Narrow"/>
      <family val="2"/>
    </font>
    <font>
      <b/>
      <sz val="10"/>
      <color rgb="FF000000"/>
      <name val="Arial"/>
      <family val="2"/>
      <scheme val="minor"/>
    </font>
    <font>
      <b/>
      <sz val="10"/>
      <color indexed="9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4" fillId="0" borderId="5" xfId="0" applyFont="1" applyBorder="1"/>
    <xf numFmtId="0" fontId="0" fillId="0" borderId="5" xfId="0" applyBorder="1"/>
    <xf numFmtId="0" fontId="4" fillId="2" borderId="5" xfId="0" applyFont="1" applyFill="1" applyBorder="1"/>
    <xf numFmtId="0" fontId="3" fillId="0" borderId="4" xfId="0" applyFont="1" applyBorder="1" applyAlignment="1">
      <alignment wrapText="1"/>
    </xf>
    <xf numFmtId="1" fontId="3" fillId="3" borderId="4" xfId="0" applyNumberFormat="1" applyFont="1" applyFill="1" applyBorder="1" applyAlignment="1">
      <alignment wrapText="1"/>
    </xf>
    <xf numFmtId="0" fontId="3" fillId="3" borderId="4" xfId="0" applyFont="1" applyFill="1" applyBorder="1" applyAlignment="1">
      <alignment horizontal="center"/>
    </xf>
    <xf numFmtId="166" fontId="3" fillId="3" borderId="4" xfId="0" applyNumberFormat="1" applyFont="1" applyFill="1" applyBorder="1" applyAlignment="1">
      <alignment wrapText="1"/>
    </xf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4" borderId="0" xfId="0" applyFont="1" applyFill="1" applyAlignment="1"/>
    <xf numFmtId="0" fontId="1" fillId="4" borderId="1" xfId="0" applyFont="1" applyFill="1" applyBorder="1" applyAlignment="1"/>
    <xf numFmtId="0" fontId="1" fillId="4" borderId="0" xfId="0" applyFont="1" applyFill="1" applyAlignment="1">
      <alignment horizontal="right"/>
    </xf>
    <xf numFmtId="0" fontId="0" fillId="4" borderId="0" xfId="0" applyFont="1" applyFill="1" applyAlignment="1"/>
    <xf numFmtId="0" fontId="5" fillId="4" borderId="0" xfId="0" applyFont="1" applyFill="1" applyAlignment="1"/>
    <xf numFmtId="0" fontId="6" fillId="5" borderId="6" xfId="0" applyFont="1" applyFill="1" applyBorder="1" applyAlignment="1">
      <alignment horizontal="justify" vertical="top"/>
    </xf>
    <xf numFmtId="14" fontId="7" fillId="0" borderId="7" xfId="0" applyNumberFormat="1" applyFont="1" applyBorder="1" applyAlignment="1">
      <alignment horizontal="right"/>
    </xf>
    <xf numFmtId="0" fontId="7" fillId="0" borderId="7" xfId="0" applyFont="1" applyBorder="1"/>
    <xf numFmtId="4" fontId="7" fillId="0" borderId="7" xfId="0" applyNumberFormat="1" applyFont="1" applyBorder="1" applyAlignment="1">
      <alignment horizontal="right"/>
    </xf>
    <xf numFmtId="4" fontId="8" fillId="0" borderId="7" xfId="0" applyNumberFormat="1" applyFont="1" applyBorder="1" applyAlignment="1">
      <alignment horizontal="right"/>
    </xf>
    <xf numFmtId="0" fontId="6" fillId="5" borderId="6" xfId="0" applyFont="1" applyFill="1" applyBorder="1" applyAlignment="1">
      <alignment horizontal="right" vertical="top" wrapText="1"/>
    </xf>
    <xf numFmtId="0" fontId="9" fillId="0" borderId="0" xfId="0" applyFont="1" applyAlignment="1"/>
    <xf numFmtId="14" fontId="7" fillId="6" borderId="7" xfId="0" applyNumberFormat="1" applyFont="1" applyFill="1" applyBorder="1" applyAlignment="1">
      <alignment horizontal="right"/>
    </xf>
    <xf numFmtId="0" fontId="7" fillId="6" borderId="7" xfId="0" applyFont="1" applyFill="1" applyBorder="1"/>
    <xf numFmtId="4" fontId="7" fillId="6" borderId="7" xfId="0" applyNumberFormat="1" applyFont="1" applyFill="1" applyBorder="1" applyAlignment="1">
      <alignment horizontal="right"/>
    </xf>
    <xf numFmtId="4" fontId="8" fillId="6" borderId="7" xfId="0" applyNumberFormat="1" applyFont="1" applyFill="1" applyBorder="1" applyAlignment="1">
      <alignment horizontal="right"/>
    </xf>
    <xf numFmtId="0" fontId="0" fillId="7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03%20-%20ADMINISTRACI&#211;N\11.%20LIBROS%20CAJA\2026\LIBRO%20CAJA%202026.xlsx" TargetMode="External"/><Relationship Id="rId1" Type="http://schemas.openxmlformats.org/officeDocument/2006/relationships/externalLinkPath" Target="/Unidades%20compartidas/03%20-%20ADMINISTRACI&#211;N/11.%20LIBROS%20CAJA/2026/LIBRO%20CAJ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"/>
      <sheetName val="FEBRERO"/>
      <sheetName val="MARZO"/>
      <sheetName val="ABRIL"/>
      <sheetName val="MAYO"/>
      <sheetName val="ARQUE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7"/>
  <sheetViews>
    <sheetView zoomScale="112" zoomScaleNormal="112" workbookViewId="0">
      <selection sqref="A1:H3"/>
    </sheetView>
  </sheetViews>
  <sheetFormatPr baseColWidth="10" defaultColWidth="12.5703125" defaultRowHeight="15.75" customHeight="1" x14ac:dyDescent="0.2"/>
  <cols>
    <col min="2" max="2" width="18.7109375" customWidth="1"/>
    <col min="3" max="3" width="19.7109375" customWidth="1"/>
    <col min="5" max="5" width="16.7109375" customWidth="1"/>
    <col min="6" max="6" width="16.140625" customWidth="1"/>
    <col min="7" max="7" width="15.140625" customWidth="1"/>
    <col min="8" max="8" width="22.710937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5">
        <v>1</v>
      </c>
      <c r="B2" s="6">
        <v>5</v>
      </c>
      <c r="C2" s="5">
        <v>1</v>
      </c>
      <c r="D2" s="1" t="s">
        <v>8</v>
      </c>
      <c r="E2" s="6">
        <v>4100000</v>
      </c>
      <c r="F2" s="7">
        <v>46156</v>
      </c>
      <c r="G2" s="8">
        <v>100</v>
      </c>
      <c r="H2" s="9" t="s">
        <v>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5">
        <v>1</v>
      </c>
      <c r="B3" s="6">
        <v>5</v>
      </c>
      <c r="C3" s="5">
        <v>2</v>
      </c>
      <c r="D3" s="1" t="s">
        <v>10</v>
      </c>
      <c r="E3" s="6">
        <v>6000000</v>
      </c>
      <c r="F3" s="7">
        <v>46156</v>
      </c>
      <c r="G3" s="8">
        <v>100</v>
      </c>
      <c r="H3" s="9" t="s">
        <v>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5"/>
      <c r="B4" s="5"/>
      <c r="C4" s="5"/>
      <c r="D4" s="1"/>
      <c r="E4" s="5"/>
      <c r="F4" s="10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5"/>
      <c r="B5" s="5"/>
      <c r="C5" s="5"/>
      <c r="D5" s="1"/>
      <c r="E5" s="5"/>
      <c r="F5" s="10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5"/>
      <c r="B6" s="5"/>
      <c r="C6" s="5"/>
      <c r="D6" s="1"/>
      <c r="E6" s="5"/>
      <c r="F6" s="10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5"/>
      <c r="B7" s="5"/>
      <c r="C7" s="5"/>
      <c r="D7" s="1"/>
      <c r="E7" s="5"/>
      <c r="F7" s="10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5"/>
      <c r="B8" s="5"/>
      <c r="C8" s="5"/>
      <c r="D8" s="1"/>
      <c r="E8" s="5"/>
      <c r="F8" s="10"/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5"/>
      <c r="B9" s="5"/>
      <c r="C9" s="5"/>
      <c r="D9" s="1"/>
      <c r="E9" s="5"/>
      <c r="F9" s="10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5"/>
      <c r="B10" s="5"/>
      <c r="C10" s="5"/>
      <c r="D10" s="1"/>
      <c r="E10" s="5"/>
      <c r="F10" s="10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5"/>
      <c r="B11" s="5"/>
      <c r="C11" s="5"/>
      <c r="D11" s="1"/>
      <c r="E11" s="5"/>
      <c r="F11" s="10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5"/>
      <c r="B12" s="5"/>
      <c r="C12" s="5"/>
      <c r="D12" s="1"/>
      <c r="E12" s="5"/>
      <c r="F12" s="10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5"/>
      <c r="B13" s="5"/>
      <c r="C13" s="5"/>
      <c r="D13" s="1"/>
      <c r="E13" s="5"/>
      <c r="F13" s="10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5"/>
      <c r="B14" s="5"/>
      <c r="C14" s="5"/>
      <c r="D14" s="1"/>
      <c r="E14" s="5"/>
      <c r="F14" s="10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5"/>
      <c r="B15" s="5"/>
      <c r="C15" s="5"/>
      <c r="D15" s="1"/>
      <c r="E15" s="5"/>
      <c r="F15" s="10"/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5"/>
      <c r="B16" s="5"/>
      <c r="C16" s="5"/>
      <c r="D16" s="1"/>
      <c r="E16" s="5"/>
      <c r="F16" s="10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5"/>
      <c r="B17" s="5"/>
      <c r="C17" s="5"/>
      <c r="D17" s="1"/>
      <c r="E17" s="5"/>
      <c r="F17" s="10"/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5"/>
      <c r="B18" s="5"/>
      <c r="C18" s="5"/>
      <c r="D18" s="1"/>
      <c r="E18" s="5"/>
      <c r="F18" s="10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5"/>
      <c r="B19" s="5"/>
      <c r="C19" s="5"/>
      <c r="D19" s="1"/>
      <c r="E19" s="5"/>
      <c r="F19" s="10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5"/>
      <c r="B20" s="5"/>
      <c r="C20" s="5"/>
      <c r="D20" s="1"/>
      <c r="E20" s="5"/>
      <c r="F20" s="10"/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5"/>
      <c r="B21" s="5"/>
      <c r="C21" s="5"/>
      <c r="D21" s="1"/>
      <c r="E21" s="5"/>
      <c r="F21" s="10"/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5"/>
      <c r="B22" s="5"/>
      <c r="C22" s="5"/>
      <c r="D22" s="1"/>
      <c r="E22" s="5"/>
      <c r="F22" s="10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5"/>
      <c r="B23" s="5"/>
      <c r="C23" s="5"/>
      <c r="D23" s="1"/>
      <c r="E23" s="5"/>
      <c r="F23" s="10"/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5"/>
      <c r="B24" s="5"/>
      <c r="C24" s="5"/>
      <c r="D24" s="1"/>
      <c r="E24" s="5"/>
      <c r="F24" s="10"/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5"/>
      <c r="B25" s="5"/>
      <c r="C25" s="5"/>
      <c r="D25" s="1"/>
      <c r="E25" s="5"/>
      <c r="F25" s="10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5"/>
      <c r="B26" s="5"/>
      <c r="C26" s="5"/>
      <c r="D26" s="1"/>
      <c r="E26" s="5"/>
      <c r="F26" s="10"/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5"/>
      <c r="B27" s="5"/>
      <c r="C27" s="5"/>
      <c r="D27" s="1"/>
      <c r="E27" s="5"/>
      <c r="F27" s="10"/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5"/>
      <c r="B28" s="5"/>
      <c r="C28" s="5"/>
      <c r="D28" s="1"/>
      <c r="E28" s="5"/>
      <c r="F28" s="10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5"/>
      <c r="B29" s="5"/>
      <c r="C29" s="5"/>
      <c r="D29" s="1"/>
      <c r="E29" s="5"/>
      <c r="F29" s="10"/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5"/>
      <c r="B30" s="5"/>
      <c r="C30" s="5"/>
      <c r="D30" s="1"/>
      <c r="E30" s="5"/>
      <c r="F30" s="10"/>
      <c r="G30" s="1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5"/>
      <c r="B31" s="5"/>
      <c r="C31" s="5"/>
      <c r="D31" s="1"/>
      <c r="E31" s="5"/>
      <c r="F31" s="10"/>
      <c r="G31" s="1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5"/>
      <c r="B32" s="5"/>
      <c r="C32" s="5"/>
      <c r="D32" s="1"/>
      <c r="E32" s="5"/>
      <c r="F32" s="10"/>
      <c r="G32" s="1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5"/>
      <c r="B33" s="5"/>
      <c r="C33" s="5"/>
      <c r="D33" s="1"/>
      <c r="E33" s="5"/>
      <c r="F33" s="10"/>
      <c r="G33" s="1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5"/>
      <c r="B34" s="5"/>
      <c r="C34" s="5"/>
      <c r="D34" s="1"/>
      <c r="E34" s="5"/>
      <c r="F34" s="10"/>
      <c r="G34" s="1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5"/>
      <c r="B35" s="5"/>
      <c r="C35" s="5"/>
      <c r="D35" s="1"/>
      <c r="E35" s="5"/>
      <c r="F35" s="10"/>
      <c r="G35" s="1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5"/>
      <c r="B36" s="5"/>
      <c r="C36" s="5"/>
      <c r="D36" s="1"/>
      <c r="E36" s="5"/>
      <c r="F36" s="10"/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5"/>
      <c r="B37" s="5"/>
      <c r="C37" s="5"/>
      <c r="D37" s="1"/>
      <c r="E37" s="5"/>
      <c r="F37" s="10"/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5"/>
      <c r="B38" s="5"/>
      <c r="C38" s="5"/>
      <c r="D38" s="1"/>
      <c r="E38" s="5"/>
      <c r="F38" s="10"/>
      <c r="G38" s="1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5"/>
      <c r="B39" s="5"/>
      <c r="C39" s="5"/>
      <c r="D39" s="1"/>
      <c r="E39" s="5"/>
      <c r="F39" s="10"/>
      <c r="G39" s="1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5"/>
      <c r="B40" s="5"/>
      <c r="C40" s="5"/>
      <c r="D40" s="1"/>
      <c r="E40" s="5"/>
      <c r="F40" s="10"/>
      <c r="G40" s="1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5"/>
      <c r="B41" s="5"/>
      <c r="C41" s="5"/>
      <c r="D41" s="1"/>
      <c r="E41" s="5"/>
      <c r="F41" s="10"/>
      <c r="G41" s="1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5"/>
      <c r="B42" s="5"/>
      <c r="C42" s="5"/>
      <c r="D42" s="1"/>
      <c r="E42" s="5"/>
      <c r="F42" s="10"/>
      <c r="G42" s="1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5"/>
      <c r="B43" s="5"/>
      <c r="C43" s="5"/>
      <c r="D43" s="1"/>
      <c r="E43" s="5"/>
      <c r="F43" s="10"/>
      <c r="G43" s="1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5"/>
      <c r="B44" s="5"/>
      <c r="C44" s="5"/>
      <c r="D44" s="1"/>
      <c r="E44" s="5"/>
      <c r="F44" s="10"/>
      <c r="G44" s="1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5"/>
      <c r="B45" s="5"/>
      <c r="C45" s="5"/>
      <c r="D45" s="1"/>
      <c r="E45" s="5"/>
      <c r="F45" s="10"/>
      <c r="G45" s="1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5"/>
      <c r="B46" s="5"/>
      <c r="C46" s="5"/>
      <c r="D46" s="1"/>
      <c r="E46" s="5"/>
      <c r="F46" s="10"/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5"/>
      <c r="B47" s="5"/>
      <c r="C47" s="5"/>
      <c r="D47" s="1"/>
      <c r="E47" s="5"/>
      <c r="F47" s="10"/>
      <c r="G47" s="1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A424-37A3-4E3C-B9B3-6F89542CCEBD}">
  <dimension ref="A1:H31"/>
  <sheetViews>
    <sheetView topLeftCell="A9" workbookViewId="0">
      <selection activeCell="C26" sqref="C26"/>
    </sheetView>
  </sheetViews>
  <sheetFormatPr baseColWidth="10" defaultRowHeight="12.75" x14ac:dyDescent="0.2"/>
  <cols>
    <col min="2" max="2" width="26.28515625" customWidth="1"/>
    <col min="3" max="3" width="18.42578125" customWidth="1"/>
    <col min="4" max="4" width="31.85546875" customWidth="1"/>
    <col min="5" max="5" width="23.7109375" customWidth="1"/>
    <col min="6" max="6" width="23.5703125" customWidth="1"/>
    <col min="7" max="7" width="23.28515625" customWidth="1"/>
    <col min="8" max="8" width="27.85546875" customWidth="1"/>
  </cols>
  <sheetData>
    <row r="1" spans="1:8" x14ac:dyDescent="0.2">
      <c r="A1" s="9" t="s">
        <v>0</v>
      </c>
      <c r="B1" s="9" t="s">
        <v>1</v>
      </c>
      <c r="C1" s="21" t="s">
        <v>2</v>
      </c>
      <c r="D1" s="21" t="s">
        <v>3</v>
      </c>
      <c r="E1" s="22" t="s">
        <v>4</v>
      </c>
      <c r="F1" s="19" t="s">
        <v>5</v>
      </c>
      <c r="G1" s="19" t="s">
        <v>6</v>
      </c>
      <c r="H1" s="20" t="s">
        <v>7</v>
      </c>
    </row>
    <row r="2" spans="1:8" x14ac:dyDescent="0.2">
      <c r="A2" s="6">
        <v>1</v>
      </c>
      <c r="B2" s="6">
        <v>5</v>
      </c>
      <c r="C2" s="23">
        <v>1</v>
      </c>
      <c r="D2" s="21" t="s">
        <v>8</v>
      </c>
      <c r="E2" s="23">
        <v>4100000</v>
      </c>
      <c r="F2" s="10">
        <v>46156</v>
      </c>
      <c r="G2" s="11">
        <v>100</v>
      </c>
      <c r="H2" s="9" t="s">
        <v>9</v>
      </c>
    </row>
    <row r="3" spans="1:8" x14ac:dyDescent="0.2">
      <c r="A3" s="6">
        <v>1</v>
      </c>
      <c r="B3" s="6">
        <v>5</v>
      </c>
      <c r="C3" s="23">
        <v>2</v>
      </c>
      <c r="D3" s="21" t="s">
        <v>10</v>
      </c>
      <c r="E3" s="23">
        <v>6000000</v>
      </c>
      <c r="F3" s="10">
        <v>46156</v>
      </c>
      <c r="G3" s="11">
        <v>100</v>
      </c>
      <c r="H3" s="9" t="s">
        <v>9</v>
      </c>
    </row>
    <row r="7" spans="1:8" x14ac:dyDescent="0.2">
      <c r="A7" t="s">
        <v>35</v>
      </c>
    </row>
    <row r="9" spans="1:8" ht="120" customHeight="1" x14ac:dyDescent="0.3">
      <c r="A9" s="16" t="s">
        <v>26</v>
      </c>
      <c r="B9" s="17" t="s">
        <v>27</v>
      </c>
      <c r="C9" s="18" t="s">
        <v>29</v>
      </c>
      <c r="D9" s="15" t="s">
        <v>28</v>
      </c>
      <c r="E9" s="15" t="s">
        <v>36</v>
      </c>
    </row>
    <row r="10" spans="1:8" ht="15" x14ac:dyDescent="0.25">
      <c r="A10" s="12">
        <v>1</v>
      </c>
      <c r="B10" s="12" t="s">
        <v>11</v>
      </c>
      <c r="C10" s="12"/>
      <c r="D10" s="12">
        <f>[1]ABRIL!E56</f>
        <v>0</v>
      </c>
      <c r="E10" s="14" t="s">
        <v>25</v>
      </c>
    </row>
    <row r="11" spans="1:8" x14ac:dyDescent="0.2">
      <c r="A11" s="13"/>
      <c r="B11" s="13" t="s">
        <v>12</v>
      </c>
      <c r="C11" s="13">
        <v>35</v>
      </c>
      <c r="D11" s="13">
        <f>D10+C11</f>
        <v>35</v>
      </c>
      <c r="E11" s="13" t="s">
        <v>13</v>
      </c>
    </row>
    <row r="12" spans="1:8" x14ac:dyDescent="0.2">
      <c r="A12" s="13"/>
      <c r="B12" s="13" t="s">
        <v>14</v>
      </c>
      <c r="C12" s="13">
        <v>32.5</v>
      </c>
      <c r="D12" s="13">
        <f t="shared" ref="D12:D21" si="0">D11+C12</f>
        <v>67.5</v>
      </c>
      <c r="E12" s="13" t="s">
        <v>15</v>
      </c>
    </row>
    <row r="13" spans="1:8" x14ac:dyDescent="0.2">
      <c r="A13" s="13"/>
      <c r="B13" s="13" t="s">
        <v>16</v>
      </c>
      <c r="C13" s="13">
        <v>32.5</v>
      </c>
      <c r="D13" s="13">
        <f t="shared" si="0"/>
        <v>100</v>
      </c>
      <c r="E13" s="13" t="s">
        <v>15</v>
      </c>
    </row>
    <row r="14" spans="1:8" x14ac:dyDescent="0.2">
      <c r="A14" s="13"/>
      <c r="B14" s="13" t="s">
        <v>17</v>
      </c>
      <c r="C14" s="13">
        <v>26</v>
      </c>
      <c r="D14" s="13">
        <f t="shared" si="0"/>
        <v>126</v>
      </c>
      <c r="E14" s="13" t="s">
        <v>18</v>
      </c>
    </row>
    <row r="15" spans="1:8" x14ac:dyDescent="0.2">
      <c r="A15" s="13"/>
      <c r="B15" s="13" t="s">
        <v>12</v>
      </c>
      <c r="C15" s="13">
        <v>52</v>
      </c>
      <c r="D15" s="13">
        <f t="shared" si="0"/>
        <v>178</v>
      </c>
      <c r="E15" s="13" t="s">
        <v>19</v>
      </c>
    </row>
    <row r="16" spans="1:8" x14ac:dyDescent="0.2">
      <c r="A16" s="13"/>
      <c r="B16" s="13" t="s">
        <v>20</v>
      </c>
      <c r="C16" s="13">
        <v>18</v>
      </c>
      <c r="D16" s="13">
        <f t="shared" si="0"/>
        <v>196</v>
      </c>
      <c r="E16" s="13" t="s">
        <v>19</v>
      </c>
    </row>
    <row r="17" spans="1:5" x14ac:dyDescent="0.2">
      <c r="A17" s="13"/>
      <c r="B17" s="13" t="s">
        <v>12</v>
      </c>
      <c r="C17" s="13">
        <v>32.5</v>
      </c>
      <c r="D17" s="13">
        <f t="shared" si="0"/>
        <v>228.5</v>
      </c>
      <c r="E17" s="13" t="s">
        <v>21</v>
      </c>
    </row>
    <row r="18" spans="1:5" x14ac:dyDescent="0.2">
      <c r="A18" s="13"/>
      <c r="B18" s="13" t="s">
        <v>22</v>
      </c>
      <c r="C18" s="13">
        <v>-24</v>
      </c>
      <c r="D18" s="13">
        <f t="shared" si="0"/>
        <v>204.5</v>
      </c>
      <c r="E18" s="13"/>
    </row>
    <row r="19" spans="1:5" x14ac:dyDescent="0.2">
      <c r="A19" s="13">
        <v>5</v>
      </c>
      <c r="B19" s="13" t="s">
        <v>30</v>
      </c>
      <c r="C19" s="13">
        <v>-65.849999999999994</v>
      </c>
      <c r="D19" s="13">
        <f t="shared" si="0"/>
        <v>138.65</v>
      </c>
      <c r="E19" s="13"/>
    </row>
    <row r="20" spans="1:5" x14ac:dyDescent="0.2">
      <c r="A20" s="13">
        <v>6</v>
      </c>
      <c r="B20" s="13" t="s">
        <v>12</v>
      </c>
      <c r="C20" s="13">
        <v>20</v>
      </c>
      <c r="D20" s="13">
        <f t="shared" si="0"/>
        <v>158.65</v>
      </c>
      <c r="E20" s="13" t="s">
        <v>23</v>
      </c>
    </row>
    <row r="21" spans="1:5" x14ac:dyDescent="0.2">
      <c r="A21" s="13"/>
      <c r="B21" s="13" t="s">
        <v>24</v>
      </c>
      <c r="C21" s="13">
        <v>-6</v>
      </c>
      <c r="D21" s="13">
        <f t="shared" si="0"/>
        <v>152.65</v>
      </c>
      <c r="E21" s="13"/>
    </row>
    <row r="23" spans="1:5" x14ac:dyDescent="0.2">
      <c r="A23" s="25" t="s">
        <v>31</v>
      </c>
      <c r="B23" s="24"/>
      <c r="C23" s="24"/>
      <c r="D23" s="24"/>
    </row>
    <row r="24" spans="1:5" x14ac:dyDescent="0.2">
      <c r="A24" s="24" t="s">
        <v>2</v>
      </c>
      <c r="B24" s="21" t="s">
        <v>3</v>
      </c>
      <c r="C24" s="22" t="s">
        <v>4</v>
      </c>
      <c r="D24" s="24"/>
    </row>
    <row r="25" spans="1:5" x14ac:dyDescent="0.2">
      <c r="A25" s="24">
        <v>1</v>
      </c>
      <c r="B25" s="24" t="s">
        <v>10</v>
      </c>
      <c r="C25" s="24">
        <v>5700000</v>
      </c>
      <c r="D25" s="24"/>
    </row>
    <row r="26" spans="1:5" x14ac:dyDescent="0.2">
      <c r="A26" s="24">
        <v>2</v>
      </c>
      <c r="B26" s="24" t="s">
        <v>8</v>
      </c>
      <c r="C26" s="24" t="s">
        <v>34</v>
      </c>
      <c r="D26" s="24"/>
    </row>
    <row r="27" spans="1:5" x14ac:dyDescent="0.2">
      <c r="A27" s="24"/>
      <c r="B27" s="24"/>
      <c r="C27" s="24"/>
      <c r="D27" s="24"/>
    </row>
    <row r="28" spans="1:5" x14ac:dyDescent="0.2">
      <c r="A28" s="25" t="s">
        <v>33</v>
      </c>
      <c r="B28" s="24"/>
      <c r="C28" s="24"/>
      <c r="D28" s="24"/>
    </row>
    <row r="29" spans="1:5" x14ac:dyDescent="0.2">
      <c r="A29" s="24" t="s">
        <v>2</v>
      </c>
      <c r="B29" s="21" t="s">
        <v>3</v>
      </c>
      <c r="C29" s="22" t="s">
        <v>4</v>
      </c>
      <c r="D29" s="24"/>
    </row>
    <row r="30" spans="1:5" x14ac:dyDescent="0.2">
      <c r="A30" s="24">
        <v>1</v>
      </c>
      <c r="B30" s="24" t="s">
        <v>10</v>
      </c>
      <c r="C30" s="24" t="s">
        <v>32</v>
      </c>
      <c r="D30" s="24"/>
    </row>
    <row r="31" spans="1:5" x14ac:dyDescent="0.2">
      <c r="A31" s="24">
        <v>2</v>
      </c>
      <c r="B31" s="24" t="s">
        <v>8</v>
      </c>
      <c r="C31" s="24">
        <v>5700000</v>
      </c>
      <c r="D31" s="24"/>
    </row>
  </sheetData>
  <conditionalFormatting sqref="C10:C2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15B3-149F-40BC-B61D-C874C0637B0C}">
  <dimension ref="A1:H47"/>
  <sheetViews>
    <sheetView tabSelected="1" topLeftCell="A10" workbookViewId="0">
      <selection activeCell="D29" sqref="D29"/>
    </sheetView>
  </sheetViews>
  <sheetFormatPr baseColWidth="10" defaultRowHeight="12.75" x14ac:dyDescent="0.2"/>
  <cols>
    <col min="1" max="1" width="19.28515625" customWidth="1"/>
    <col min="3" max="3" width="19.7109375" customWidth="1"/>
    <col min="4" max="4" width="20.28515625" customWidth="1"/>
    <col min="5" max="5" width="17" customWidth="1"/>
  </cols>
  <sheetData>
    <row r="1" spans="1:8" x14ac:dyDescent="0.2">
      <c r="A1" s="9" t="s">
        <v>0</v>
      </c>
      <c r="B1" s="9" t="s">
        <v>1</v>
      </c>
      <c r="C1" s="9" t="s">
        <v>2</v>
      </c>
      <c r="D1" s="9" t="s">
        <v>3</v>
      </c>
      <c r="E1" s="2" t="s">
        <v>4</v>
      </c>
      <c r="F1" s="19" t="s">
        <v>5</v>
      </c>
      <c r="G1" s="19" t="s">
        <v>6</v>
      </c>
      <c r="H1" s="4" t="s">
        <v>7</v>
      </c>
    </row>
    <row r="2" spans="1:8" x14ac:dyDescent="0.2">
      <c r="A2" s="6">
        <v>1</v>
      </c>
      <c r="B2" s="6">
        <v>5</v>
      </c>
      <c r="C2" s="6">
        <v>1</v>
      </c>
      <c r="D2" s="9" t="s">
        <v>8</v>
      </c>
      <c r="E2" s="6">
        <v>4100000</v>
      </c>
      <c r="F2" s="10">
        <v>46156</v>
      </c>
      <c r="G2" s="11">
        <v>100</v>
      </c>
      <c r="H2" s="9" t="s">
        <v>9</v>
      </c>
    </row>
    <row r="3" spans="1:8" x14ac:dyDescent="0.2">
      <c r="A3" s="6">
        <v>1</v>
      </c>
      <c r="B3" s="6">
        <v>5</v>
      </c>
      <c r="C3" s="6">
        <v>2</v>
      </c>
      <c r="D3" s="9" t="s">
        <v>10</v>
      </c>
      <c r="E3" s="6">
        <v>6000000</v>
      </c>
      <c r="F3" s="10">
        <v>46156</v>
      </c>
      <c r="G3" s="11">
        <v>100</v>
      </c>
      <c r="H3" s="9" t="s">
        <v>9</v>
      </c>
    </row>
    <row r="10" spans="1:8" ht="89.25" x14ac:dyDescent="0.2">
      <c r="A10" s="19" t="s">
        <v>5</v>
      </c>
      <c r="B10" s="31" t="s">
        <v>60</v>
      </c>
      <c r="C10" s="26" t="s">
        <v>37</v>
      </c>
      <c r="D10" s="26" t="s">
        <v>38</v>
      </c>
      <c r="E10" s="19" t="s">
        <v>6</v>
      </c>
      <c r="F10" s="31" t="s">
        <v>59</v>
      </c>
    </row>
    <row r="11" spans="1:8" x14ac:dyDescent="0.2">
      <c r="A11" s="27">
        <v>46160</v>
      </c>
      <c r="B11" s="27">
        <v>46160</v>
      </c>
      <c r="C11" s="28" t="s">
        <v>39</v>
      </c>
      <c r="D11" s="28" t="s">
        <v>40</v>
      </c>
      <c r="E11" s="29">
        <v>60</v>
      </c>
      <c r="F11" s="29">
        <v>60</v>
      </c>
    </row>
    <row r="12" spans="1:8" x14ac:dyDescent="0.2">
      <c r="A12" s="27">
        <v>46160</v>
      </c>
      <c r="B12" s="27">
        <v>46160</v>
      </c>
      <c r="C12" s="28" t="s">
        <v>41</v>
      </c>
      <c r="D12" s="28" t="s">
        <v>42</v>
      </c>
      <c r="E12" s="30">
        <v>-60</v>
      </c>
      <c r="F12" s="29">
        <v>0</v>
      </c>
    </row>
    <row r="13" spans="1:8" x14ac:dyDescent="0.2">
      <c r="A13" s="27">
        <v>46161</v>
      </c>
      <c r="B13" s="27">
        <v>46161</v>
      </c>
      <c r="C13" s="28" t="s">
        <v>43</v>
      </c>
      <c r="D13" s="28" t="s">
        <v>44</v>
      </c>
      <c r="E13" s="29">
        <v>60</v>
      </c>
      <c r="F13" s="29">
        <v>60</v>
      </c>
    </row>
    <row r="14" spans="1:8" x14ac:dyDescent="0.2">
      <c r="A14" s="27">
        <v>46161</v>
      </c>
      <c r="B14" s="27">
        <v>46161</v>
      </c>
      <c r="C14" s="28" t="s">
        <v>45</v>
      </c>
      <c r="D14" s="28" t="s">
        <v>44</v>
      </c>
      <c r="E14" s="30">
        <v>-1.2</v>
      </c>
      <c r="F14" s="29">
        <v>58.8</v>
      </c>
    </row>
    <row r="15" spans="1:8" x14ac:dyDescent="0.2">
      <c r="A15" s="27">
        <v>46161</v>
      </c>
      <c r="B15" s="27">
        <v>46161</v>
      </c>
      <c r="C15" s="28" t="s">
        <v>41</v>
      </c>
      <c r="D15" s="28" t="s">
        <v>42</v>
      </c>
      <c r="E15" s="30">
        <v>-58.8</v>
      </c>
      <c r="F15" s="29">
        <v>0</v>
      </c>
    </row>
    <row r="16" spans="1:8" x14ac:dyDescent="0.2">
      <c r="A16" s="33">
        <v>46162</v>
      </c>
      <c r="B16" s="33">
        <v>46162</v>
      </c>
      <c r="C16" s="34" t="s">
        <v>46</v>
      </c>
      <c r="D16" s="34" t="s">
        <v>47</v>
      </c>
      <c r="E16" s="35">
        <v>29</v>
      </c>
      <c r="F16" s="35">
        <v>29</v>
      </c>
      <c r="G16" s="32" t="s">
        <v>61</v>
      </c>
    </row>
    <row r="17" spans="1:6" x14ac:dyDescent="0.2">
      <c r="A17" s="33">
        <v>46162</v>
      </c>
      <c r="B17" s="33">
        <v>46162</v>
      </c>
      <c r="C17" s="34" t="s">
        <v>48</v>
      </c>
      <c r="D17" s="34" t="s">
        <v>47</v>
      </c>
      <c r="E17" s="35">
        <v>76.099999999999994</v>
      </c>
      <c r="F17" s="35">
        <v>105.1</v>
      </c>
    </row>
    <row r="18" spans="1:6" x14ac:dyDescent="0.2">
      <c r="A18" s="33">
        <v>46162</v>
      </c>
      <c r="B18" s="33">
        <v>46162</v>
      </c>
      <c r="C18" s="34" t="s">
        <v>49</v>
      </c>
      <c r="D18" s="34" t="s">
        <v>47</v>
      </c>
      <c r="E18" s="35">
        <v>50</v>
      </c>
      <c r="F18" s="35">
        <v>155.1</v>
      </c>
    </row>
    <row r="19" spans="1:6" x14ac:dyDescent="0.2">
      <c r="A19" s="33">
        <v>46162</v>
      </c>
      <c r="B19" s="33">
        <v>46162</v>
      </c>
      <c r="C19" s="34" t="s">
        <v>50</v>
      </c>
      <c r="D19" s="34" t="s">
        <v>44</v>
      </c>
      <c r="E19" s="36">
        <v>-0.11</v>
      </c>
      <c r="F19" s="35">
        <v>154.99</v>
      </c>
    </row>
    <row r="20" spans="1:6" x14ac:dyDescent="0.2">
      <c r="A20" s="33">
        <v>46162</v>
      </c>
      <c r="B20" s="33">
        <v>46162</v>
      </c>
      <c r="C20" s="34" t="s">
        <v>51</v>
      </c>
      <c r="D20" s="34" t="s">
        <v>44</v>
      </c>
      <c r="E20" s="36">
        <v>-0.11</v>
      </c>
      <c r="F20" s="35">
        <v>154.88</v>
      </c>
    </row>
    <row r="21" spans="1:6" x14ac:dyDescent="0.2">
      <c r="A21" s="33">
        <v>46162</v>
      </c>
      <c r="B21" s="33">
        <v>46162</v>
      </c>
      <c r="C21" s="34" t="s">
        <v>52</v>
      </c>
      <c r="D21" s="34" t="s">
        <v>44</v>
      </c>
      <c r="E21" s="36">
        <v>-0.11</v>
      </c>
      <c r="F21" s="35">
        <v>154.77000000000001</v>
      </c>
    </row>
    <row r="22" spans="1:6" x14ac:dyDescent="0.2">
      <c r="A22" s="27">
        <v>46162</v>
      </c>
      <c r="B22" s="27">
        <v>46162</v>
      </c>
      <c r="C22" s="28" t="s">
        <v>53</v>
      </c>
      <c r="D22" s="28" t="s">
        <v>54</v>
      </c>
      <c r="E22" s="30">
        <v>-307.27999999999997</v>
      </c>
      <c r="F22" s="30">
        <v>-152.51</v>
      </c>
    </row>
    <row r="23" spans="1:6" x14ac:dyDescent="0.2">
      <c r="A23" s="27">
        <v>46162</v>
      </c>
      <c r="B23" s="27">
        <v>46162</v>
      </c>
      <c r="C23" s="28" t="s">
        <v>55</v>
      </c>
      <c r="D23" s="28" t="s">
        <v>56</v>
      </c>
      <c r="E23" s="30">
        <v>-24.2</v>
      </c>
      <c r="F23" s="30">
        <v>-176.71</v>
      </c>
    </row>
    <row r="24" spans="1:6" x14ac:dyDescent="0.2">
      <c r="A24" s="27">
        <v>46162</v>
      </c>
      <c r="B24" s="27">
        <v>46162</v>
      </c>
      <c r="C24" s="28" t="s">
        <v>57</v>
      </c>
      <c r="D24" s="28" t="s">
        <v>44</v>
      </c>
      <c r="E24" s="30">
        <v>-0.55000000000000004</v>
      </c>
      <c r="F24" s="30">
        <v>-177.26</v>
      </c>
    </row>
    <row r="25" spans="1:6" x14ac:dyDescent="0.2">
      <c r="A25" s="27">
        <v>46162</v>
      </c>
      <c r="B25" s="27">
        <v>46162</v>
      </c>
      <c r="C25" s="28" t="s">
        <v>58</v>
      </c>
      <c r="D25" s="28" t="s">
        <v>44</v>
      </c>
      <c r="E25" s="29">
        <v>398.7</v>
      </c>
      <c r="F25" s="29">
        <v>221.44</v>
      </c>
    </row>
    <row r="26" spans="1:6" x14ac:dyDescent="0.2">
      <c r="A26" s="27">
        <v>46162</v>
      </c>
      <c r="B26" s="27">
        <v>46162</v>
      </c>
      <c r="C26" s="28" t="s">
        <v>41</v>
      </c>
      <c r="D26" s="28" t="s">
        <v>42</v>
      </c>
      <c r="E26" s="30">
        <v>-221.44</v>
      </c>
      <c r="F26" s="29">
        <v>0</v>
      </c>
    </row>
    <row r="28" spans="1:6" x14ac:dyDescent="0.2">
      <c r="D28" s="32" t="s">
        <v>69</v>
      </c>
    </row>
    <row r="29" spans="1:6" x14ac:dyDescent="0.2">
      <c r="A29" s="32" t="s">
        <v>62</v>
      </c>
    </row>
    <row r="30" spans="1:6" x14ac:dyDescent="0.2">
      <c r="A30" s="9" t="s">
        <v>2</v>
      </c>
      <c r="B30" s="9" t="s">
        <v>3</v>
      </c>
      <c r="C30" s="2" t="s">
        <v>4</v>
      </c>
    </row>
    <row r="31" spans="1:6" x14ac:dyDescent="0.2">
      <c r="A31" s="6">
        <v>1</v>
      </c>
      <c r="B31" s="39" t="s">
        <v>10</v>
      </c>
      <c r="C31" s="6">
        <v>5720002</v>
      </c>
    </row>
    <row r="32" spans="1:6" x14ac:dyDescent="0.2">
      <c r="A32" s="6">
        <v>2</v>
      </c>
      <c r="B32" s="39" t="s">
        <v>8</v>
      </c>
      <c r="C32" s="37" t="s">
        <v>34</v>
      </c>
    </row>
    <row r="35" spans="1:5" x14ac:dyDescent="0.2">
      <c r="A35" s="32" t="s">
        <v>63</v>
      </c>
    </row>
    <row r="36" spans="1:5" x14ac:dyDescent="0.2">
      <c r="A36" s="9" t="s">
        <v>2</v>
      </c>
      <c r="B36" s="9" t="s">
        <v>3</v>
      </c>
      <c r="C36" s="2" t="s">
        <v>4</v>
      </c>
    </row>
    <row r="37" spans="1:5" x14ac:dyDescent="0.2">
      <c r="A37" s="6">
        <v>1</v>
      </c>
      <c r="B37" s="9" t="s">
        <v>8</v>
      </c>
      <c r="C37" s="38" t="s">
        <v>64</v>
      </c>
      <c r="E37" s="32" t="s">
        <v>68</v>
      </c>
    </row>
    <row r="38" spans="1:5" x14ac:dyDescent="0.2">
      <c r="A38" s="6">
        <v>2</v>
      </c>
      <c r="B38" s="9" t="s">
        <v>10</v>
      </c>
      <c r="C38" s="37">
        <v>5720002</v>
      </c>
    </row>
    <row r="41" spans="1:5" x14ac:dyDescent="0.2">
      <c r="A41" s="32" t="s">
        <v>65</v>
      </c>
      <c r="E41" s="32" t="s">
        <v>7</v>
      </c>
    </row>
    <row r="42" spans="1:5" x14ac:dyDescent="0.2">
      <c r="A42">
        <v>1</v>
      </c>
      <c r="B42" s="32" t="s">
        <v>10</v>
      </c>
      <c r="C42">
        <v>5720002</v>
      </c>
      <c r="E42" s="32" t="s">
        <v>66</v>
      </c>
    </row>
    <row r="43" spans="1:5" x14ac:dyDescent="0.2">
      <c r="A43">
        <v>2</v>
      </c>
      <c r="B43" s="32" t="s">
        <v>8</v>
      </c>
      <c r="C43">
        <v>5510436</v>
      </c>
    </row>
    <row r="45" spans="1:5" x14ac:dyDescent="0.2">
      <c r="A45" s="32" t="s">
        <v>67</v>
      </c>
      <c r="E45" s="32" t="s">
        <v>7</v>
      </c>
    </row>
    <row r="46" spans="1:5" x14ac:dyDescent="0.2">
      <c r="A46">
        <v>1</v>
      </c>
      <c r="B46" s="32" t="s">
        <v>10</v>
      </c>
      <c r="C46">
        <v>5510436</v>
      </c>
      <c r="E46" s="32" t="s">
        <v>66</v>
      </c>
    </row>
    <row r="47" spans="1:5" x14ac:dyDescent="0.2">
      <c r="A47">
        <v>2</v>
      </c>
      <c r="B47" s="32" t="s">
        <v>8</v>
      </c>
      <c r="C47">
        <v>5720002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 IMPORTAR A SAGE</vt:lpstr>
      <vt:lpstr>LIBRO CAJA</vt:lpstr>
      <vt:lpstr>EJEMPLO MOVIMIENTOS DEL BANCO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Hernández Sanfélix</dc:creator>
  <cp:lastModifiedBy>GLORIA (Administradora) HERNÁNDEZ SANFELIX</cp:lastModifiedBy>
  <dcterms:created xsi:type="dcterms:W3CDTF">2026-06-01T15:39:24Z</dcterms:created>
  <dcterms:modified xsi:type="dcterms:W3CDTF">2026-06-01T16:13:41Z</dcterms:modified>
</cp:coreProperties>
</file>